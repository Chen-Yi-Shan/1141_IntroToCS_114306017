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計概TA\1011\"/>
    </mc:Choice>
  </mc:AlternateContent>
  <xr:revisionPtr revIDLastSave="92" documentId="8_{9E71D5AD-7738-440F-B6EB-CB38D6E1B778}" xr6:coauthVersionLast="47" xr6:coauthVersionMax="47" xr10:uidLastSave="{C1937F71-B53B-4C28-B624-A3ED79C3013B}"/>
  <bookViews>
    <workbookView xWindow="-108" yWindow="-108" windowWidth="23256" windowHeight="12456" xr2:uid="{60C2E2F6-AD98-4042-9BF5-DA3DB7B4AD4C}"/>
  </bookViews>
  <sheets>
    <sheet name="工作表1" sheetId="1" r:id="rId1"/>
  </sheets>
  <definedNames>
    <definedName name="_xlnm._FilterDatabase" localSheetId="0" hidden="1">工作表1!$A$1:$L$17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M17" i="1"/>
  <c r="H17" i="1"/>
  <c r="D17" i="1"/>
  <c r="C17" i="1"/>
  <c r="J17" i="1"/>
  <c r="L10" i="1"/>
  <c r="L11" i="1"/>
  <c r="L12" i="1"/>
  <c r="L13" i="1"/>
  <c r="L14" i="1"/>
  <c r="L5" i="1"/>
  <c r="L6" i="1"/>
  <c r="L7" i="1"/>
  <c r="L8" i="1"/>
  <c r="L9" i="1"/>
  <c r="L3" i="1"/>
  <c r="L4" i="1"/>
  <c r="L15" i="1"/>
  <c r="L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2" i="1" a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<sst xmlns="http://schemas.openxmlformats.org/spreadsheetml/2006/main" count="34" uniqueCount="34">
  <si>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</si>
  <si>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</si>
  <si>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</si>
  <si>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</si>
  <si>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</si>
  <si>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</si>
  <si>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</si>
  <si>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Q1: Exam_Average</t>
    <phoneticPr fontId="2" type="noConversion"/>
  </si>
  <si>
    <t>Midterm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</si>
  <si>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</si>
  <si>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</si>
  <si>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</si>
  <si>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</si>
  <si>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</si>
  <si>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</si>
  <si>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</si>
  <si>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</si>
  <si>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</si>
  <si>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</si>
  <si>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</si>
  <si>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</si>
  <si>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</si>
  <si>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</si>
  <si>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</si>
  <si>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</si>
  <si>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</si>
  <si>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</si>
  <si>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</si>
  <si>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</si>
  <si>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</si>
  <si>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</si>
  <si>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</si>
  <si>
    <t>fail</t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</si>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</sst>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Students' overall score</a:t>
            </a:r>
          </a:p>
        </c:rich>
      </c:tx>
      <c:layout>
        <c:manualLayout>
          <c:xMode val="edge"/>
          <c:yMode val="edge"/>
          <c:x val="0.4156250529819065"/>
          <c:y val="3.0671384599473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4-4B53-9C98-8A515E139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24840"/>
        <c:axId val="172026888"/>
      </c:barChart>
      <c:catAx>
        <c:axId val="172024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26888"/>
        <c:crosses val="autoZero"/>
        <c:auto val="1"/>
        <c:lblAlgn val="ctr"/>
        <c:lblOffset val="100"/>
        <c:noMultiLvlLbl val="0"/>
      </c:catAx>
      <c:valAx>
        <c:axId val="17202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2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students' 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工作表1!$L$17:$L$18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工作表1!$M$17:$M$18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3-4284-B502-01606BC24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25</xdr:row>
      <xdr:rowOff>133350</xdr:rowOff>
    </xdr:from>
    <xdr:to>
      <xdr:col>11</xdr:col>
      <xdr:colOff>247650</xdr:colOff>
      <xdr:row>34</xdr:row>
      <xdr:rowOff>66675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E1176B6-7BEA-4661-4E48-ECBE9F85D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1800225</xdr:colOff>
      <xdr:row>18</xdr:row>
      <xdr:rowOff>76200</xdr:rowOff>
    </xdr:from>
    <xdr:to>
      <xdr:col>12</xdr:col>
      <xdr:colOff>438150</xdr:colOff>
      <xdr:row>26</xdr:row>
      <xdr:rowOff>47625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88A12575-AC5F-F124-899A-0BB858877F9E}"/>
            </a:ext>
            <a:ext uri="{147F2762-F138-4A5C-976F-8EAC2B608ADB}">
              <a16:predDERef xmlns:a16="http://schemas.microsoft.com/office/drawing/2014/main" pred="{2E1176B6-7BEA-4661-4E48-ECBE9F85D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24"/>
  <sheetViews>
    <sheetView tabSelected="1" topLeftCell="C14" workbookViewId="0">
      <selection activeCell="L29" sqref="L29"/>
    </sheetView>
  </sheetViews>
  <sheetFormatPr defaultRowHeight="16.149999999999999"/>
  <cols>
    <col min="3" max="3" width="14.5" bestFit="1" customWidth="1"/>
    <col min="4" max="4" width="13" bestFit="1" customWidth="1"/>
    <col min="8" max="8" width="20.625" bestFit="1" customWidth="1"/>
    <col min="10" max="10" width="16.125" bestFit="1" customWidth="1"/>
    <col min="11" max="11" width="24.25" customWidth="1"/>
    <col min="12" max="12" width="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 spans="1:12" ht="15">
      <c r="A2" s="1">
        <v>4</v>
      </c>
      <c r="B2" s="1" t="s">
        <v>12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(H2+I2)/2</f>
        <v>91.7</v>
      </c>
      <c r="K2" s="5" t="str" cm="1">
        <f t="array" ref="K2">_xlfn.IFS(J2&gt;=90,"A",J2&gt;=80,"B",J2&gt;=70,"C",J2&gt;=60,"D",J2&gt;=0,"F")</f>
        <v>A</v>
      </c>
      <c r="L2" t="str">
        <f>IF(J2&gt;=60,"pass","fail")</f>
        <v>pass</v>
      </c>
    </row>
    <row r="3" spans="1:12" ht="15">
      <c r="A3" s="1">
        <v>3</v>
      </c>
      <c r="B3" s="1" t="s">
        <v>13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(H3+I3)/2</f>
        <v>90</v>
      </c>
      <c r="K3" s="5" t="str" cm="1">
        <f t="array" ref="K3">_xlfn.IFS(J3&gt;=90,"A",J3&gt;=80,"B",J3&gt;=70,"C",J3&gt;=60,"D",J3&gt;=0,"F")</f>
        <v>A</v>
      </c>
      <c r="L3" t="str">
        <f t="shared" ref="L3:L14" si="2">IF(J3&gt;=60,"pass","fail")</f>
        <v>pass</v>
      </c>
    </row>
    <row r="4" spans="1:12" ht="15">
      <c r="A4" s="1">
        <v>10</v>
      </c>
      <c r="B4" s="1" t="s">
        <v>14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s="5" t="str" cm="1">
        <f t="array" ref="K4">_xlfn.IFS(J4&gt;=90,"A",J4&gt;=80,"B",J4&gt;=70,"C",J4&gt;=60,"D",J4&gt;=0,"F")</f>
        <v>B</v>
      </c>
      <c r="L4" t="str">
        <f t="shared" si="2"/>
        <v>pass</v>
      </c>
    </row>
    <row r="5" spans="1:12" ht="15">
      <c r="A5" s="1">
        <v>6</v>
      </c>
      <c r="B5" s="1" t="s">
        <v>15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</v>
      </c>
      <c r="K5" s="5" t="str" cm="1">
        <f t="array" ref="K5">_xlfn.IFS(J5&gt;=90,"A",J5&gt;=80,"B",J5&gt;=70,"C",J5&gt;=60,"D",J5&gt;=0,"F")</f>
        <v>B</v>
      </c>
      <c r="L5" t="str">
        <f t="shared" si="2"/>
        <v>pass</v>
      </c>
    </row>
    <row r="6" spans="1:12" ht="15">
      <c r="A6" s="1">
        <v>2</v>
      </c>
      <c r="B6" s="1" t="s">
        <v>16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s="5" t="str" cm="1">
        <f t="array" ref="K6">_xlfn.IFS(J6&gt;=90,"A",J6&gt;=80,"B",J6&gt;=70,"C",J6&gt;=60,"D",J6&gt;=0,"F")</f>
        <v>B</v>
      </c>
      <c r="L6" t="str">
        <f t="shared" si="2"/>
        <v>pass</v>
      </c>
    </row>
    <row r="7" spans="1:12" ht="15">
      <c r="A7" s="1">
        <v>5</v>
      </c>
      <c r="B7" s="1" t="s">
        <v>17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</v>
      </c>
      <c r="K7" s="5" t="str" cm="1">
        <f t="array" ref="K7">_xlfn.IFS(J7&gt;=90,"A",J7&gt;=80,"B",J7&gt;=70,"C",J7&gt;=60,"D",J7&gt;=0,"F")</f>
        <v>B</v>
      </c>
      <c r="L7" t="str">
        <f t="shared" si="2"/>
        <v>pass</v>
      </c>
    </row>
    <row r="8" spans="1:12" ht="15">
      <c r="A8" s="1">
        <v>7</v>
      </c>
      <c r="B8" s="1" t="s">
        <v>18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s="5" t="str" cm="1">
        <f t="array" ref="K8">_xlfn.IFS(J8&gt;=90,"A",J8&gt;=80,"B",J8&gt;=70,"C",J8&gt;=60,"D",J8&gt;=0,"F")</f>
        <v>C</v>
      </c>
      <c r="L8" t="str">
        <f t="shared" si="2"/>
        <v>pass</v>
      </c>
    </row>
    <row r="9" spans="1:12" ht="15">
      <c r="A9" s="1">
        <v>9</v>
      </c>
      <c r="B9" s="1" t="s">
        <v>19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s="5" t="str" cm="1">
        <f t="array" ref="K9">_xlfn.IFS(J9&gt;=90,"A",J9&gt;=80,"B",J9&gt;=70,"C",J9&gt;=60,"D",J9&gt;=0,"F")</f>
        <v>C</v>
      </c>
      <c r="L9" t="str">
        <f t="shared" si="2"/>
        <v>pass</v>
      </c>
    </row>
    <row r="10" spans="1:12" ht="15">
      <c r="A10" s="1">
        <v>13</v>
      </c>
      <c r="B10" s="1" t="s">
        <v>20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s="5" t="str" cm="1">
        <f t="array" ref="K10">_xlfn.IFS(J10&gt;=90,"A",J10&gt;=80,"B",J10&gt;=70,"C",J10&gt;=60,"D",J10&gt;=0,"F")</f>
        <v>C</v>
      </c>
      <c r="L10" t="str">
        <f t="shared" si="2"/>
        <v>pass</v>
      </c>
    </row>
    <row r="11" spans="1:12" ht="15">
      <c r="A11" s="1">
        <v>1</v>
      </c>
      <c r="B11" s="1" t="s">
        <v>21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s="5" t="str" cm="1">
        <f t="array" ref="K11">_xlfn.IFS(J11&gt;=90,"A",J11&gt;=80,"B",J11&gt;=70,"C",J11&gt;=60,"D",J11&gt;=0,"F")</f>
        <v>C</v>
      </c>
      <c r="L11" t="str">
        <f t="shared" si="2"/>
        <v>pass</v>
      </c>
    </row>
    <row r="12" spans="1:12" ht="15">
      <c r="A12" s="1">
        <v>8</v>
      </c>
      <c r="B12" s="1" t="s">
        <v>22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s="5" t="str" cm="1">
        <f t="array" ref="K12">_xlfn.IFS(J12&gt;=90,"A",J12&gt;=80,"B",J12&gt;=70,"C",J12&gt;=60,"D",J12&gt;=0,"F")</f>
        <v>B</v>
      </c>
      <c r="L12" t="str">
        <f t="shared" si="2"/>
        <v>pass</v>
      </c>
    </row>
    <row r="13" spans="1:12" ht="15">
      <c r="A13" s="1">
        <v>12</v>
      </c>
      <c r="B13" s="1" t="s">
        <v>23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s="5" t="str" cm="1">
        <f t="array" ref="K13">_xlfn.IFS(J13&gt;=90,"A",J13&gt;=80,"B",J13&gt;=70,"C",J13&gt;=60,"D",J13&gt;=0,"F")</f>
        <v>F</v>
      </c>
      <c r="L13" t="str">
        <f t="shared" si="2"/>
        <v>fail</v>
      </c>
    </row>
    <row r="14" spans="1:12" ht="15">
      <c r="A14" s="1">
        <v>11</v>
      </c>
      <c r="B14" s="1" t="s">
        <v>24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s="5" t="str" cm="1">
        <f t="array" ref="K14">_xlfn.IFS(J14&gt;=90,"A",J14&gt;=80,"B",J14&gt;=70,"C",J14&gt;=60,"D",J14&gt;=0,"F")</f>
        <v>D</v>
      </c>
      <c r="L14" t="str">
        <f t="shared" si="2"/>
        <v>pass</v>
      </c>
    </row>
    <row r="15" spans="1:12" ht="15">
      <c r="A15" s="1">
        <v>14</v>
      </c>
      <c r="B15" s="1" t="s">
        <v>25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s="5" t="str" cm="1">
        <f t="array" ref="K15">_xlfn.IFS(J15&gt;=90,"A",J15&gt;=80,"B",J15&gt;=70,"C",J15&gt;=60,"D",J15&gt;=0,"F")</f>
        <v>F</v>
      </c>
      <c r="L15" t="str">
        <f t="shared" ref="L3:L15" si="3">IF(J15&gt;=60,"pass","fail")</f>
        <v>fail</v>
      </c>
    </row>
    <row r="16" spans="1:12">
      <c r="C16" s="4" t="s">
        <v>26</v>
      </c>
      <c r="D16" s="4" t="s">
        <v>27</v>
      </c>
      <c r="H16" s="4" t="s">
        <v>28</v>
      </c>
      <c r="J16" s="4" t="s">
        <v>29</v>
      </c>
      <c r="L16" s="4" t="s">
        <v>30</v>
      </c>
    </row>
    <row r="17" spans="3:13" ht="15">
      <c r="C17">
        <f>LARGE(C2:C15,1)</f>
        <v>98</v>
      </c>
      <c r="D17">
        <f>LARGE(D2:D15,2)</f>
        <v>92</v>
      </c>
      <c r="H17">
        <f>COUNTIF(H2:H15,"&lt;80")</f>
        <v>8</v>
      </c>
      <c r="J17">
        <f>AVERAGE(J2:J15)</f>
        <v>76.871428571428581</v>
      </c>
      <c r="L17" s="5" t="s">
        <v>31</v>
      </c>
      <c r="M17" s="5">
        <f>COUNTIF(L2:L15,"pass")</f>
        <v>12</v>
      </c>
    </row>
    <row r="18" spans="3:13">
      <c r="L18" t="s">
        <v>32</v>
      </c>
      <c r="M18">
        <f>COUNTIF(L2:L15,"fail")</f>
        <v>2</v>
      </c>
    </row>
    <row r="24" spans="3:13">
      <c r="J24" s="4" t="s">
        <v>33</v>
      </c>
    </row>
  </sheetData>
  <phoneticPr fontId="2" type="noConversion"/>
  <conditionalFormatting sqref="L2:L15">
    <cfRule type="cellIs" dxfId="1" priority="3" operator="equal">
      <formula>"pass"</formula>
    </cfRule>
  </conditionalFormatting>
  <conditionalFormatting sqref="L2:L15">
    <cfRule type="cellIs" dxfId="0" priority="2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芷嫺 簡</dc:creator>
  <cp:keywords/>
  <dc:description/>
  <cp:lastModifiedBy>陳以珊</cp:lastModifiedBy>
  <cp:revision/>
  <dcterms:created xsi:type="dcterms:W3CDTF">2023-10-19T05:27:10Z</dcterms:created>
  <dcterms:modified xsi:type="dcterms:W3CDTF">2025-10-05T10:06:28Z</dcterms:modified>
  <cp:category/>
  <cp:contentStatus/>
</cp:coreProperties>
</file>